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189038bcb4b0e/Desktop/Microsoft/Foundry/docs/"/>
    </mc:Choice>
  </mc:AlternateContent>
  <xr:revisionPtr revIDLastSave="439" documentId="8_{04AAB5BB-D922-4911-86BC-A821CA3FCDDC}" xr6:coauthVersionLast="47" xr6:coauthVersionMax="47" xr10:uidLastSave="{94D59F98-26E2-4EE4-AD37-05941F6BEA35}"/>
  <bookViews>
    <workbookView xWindow="16455" yWindow="0" windowWidth="22095" windowHeight="18465" activeTab="4" xr2:uid="{E5E9EABE-BEC4-4162-A629-1774DAAB0276}"/>
  </bookViews>
  <sheets>
    <sheet name="IOC Testing" sheetId="1" r:id="rId1"/>
    <sheet name="Incident Testing" sheetId="2" r:id="rId2"/>
    <sheet name="Threat Hunt Testing" sheetId="3" r:id="rId3"/>
    <sheet name="Detection Testing" sheetId="4" r:id="rId4"/>
    <sheet name="Resul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4" i="5"/>
  <c r="B12" i="5"/>
  <c r="B10" i="5"/>
</calcChain>
</file>

<file path=xl/sharedStrings.xml><?xml version="1.0" encoding="utf-8"?>
<sst xmlns="http://schemas.openxmlformats.org/spreadsheetml/2006/main" count="150" uniqueCount="98">
  <si>
    <t>Test ID</t>
  </si>
  <si>
    <t>Category</t>
  </si>
  <si>
    <t>Scenario</t>
  </si>
  <si>
    <t>Prompt</t>
  </si>
  <si>
    <t>Agent Result</t>
  </si>
  <si>
    <t>Total Score</t>
  </si>
  <si>
    <t>Notes</t>
  </si>
  <si>
    <t>Expected Result</t>
  </si>
  <si>
    <t>Score</t>
  </si>
  <si>
    <t>Fail</t>
  </si>
  <si>
    <t>Pass</t>
  </si>
  <si>
    <t>Threat Hunt Testing</t>
  </si>
  <si>
    <t>Detection Testing</t>
  </si>
  <si>
    <t>Status</t>
  </si>
  <si>
    <t>Tests</t>
  </si>
  <si>
    <t>Passed</t>
  </si>
  <si>
    <t>Failed</t>
  </si>
  <si>
    <t>Pass Rate</t>
  </si>
  <si>
    <t>IOC-001</t>
  </si>
  <si>
    <t>IOC Analysis</t>
  </si>
  <si>
    <t>Malicious Domain</t>
  </si>
  <si>
    <t>Investigate the following Indicator of Compromise (IOC): 
licencemanagers.azurewebsites.net</t>
  </si>
  <si>
    <t>Suspicious or Confirmed Malicious</t>
  </si>
  <si>
    <t>IOC-002</t>
  </si>
  <si>
    <t>SHA256 Analysis</t>
  </si>
  <si>
    <t>Analyze the following SHA256 hash: 0db36a04d304ad96f9e6f97b531934594cd95a5cea9ff2c9af249201089dc864</t>
  </si>
  <si>
    <t>Unknown or Confirmed Malicious depending on available evidence</t>
  </si>
  <si>
    <t>SEN-001</t>
  </si>
  <si>
    <t>SEN-002</t>
  </si>
  <si>
    <t>Retrieval Accuracy</t>
  </si>
  <si>
    <t>Suspicious, Medium Confidence, 
Informational Severity, 
ATT&amp;CK Mapped, KQL Generated</t>
  </si>
  <si>
    <t>Yes</t>
  </si>
  <si>
    <t>No</t>
  </si>
  <si>
    <t>Correct classification, proper ATT&amp;CK validation, 
good KQL hunts, no hallucinations</t>
  </si>
  <si>
    <t>Unknown, Informational, Low Confidence, 
KQL Generated, No Escalation</t>
  </si>
  <si>
    <t>Correctly avoided malware attribution and compromise claims; 
minor issue: added potential ATT&amp;CK techniques even though 
hash-only investigations should avoid technique mapping unless 
supported by behavior or intelligence.</t>
  </si>
  <si>
    <t>IOC-003</t>
  </si>
  <si>
    <t>Unknown Domain</t>
  </si>
  <si>
    <t>Investigate the following IOC: example.com</t>
  </si>
  <si>
    <t>Unknown / Informational /
 Low Confidence</t>
  </si>
  <si>
    <t>Unknown, Informational, Low Confidence, 
No Attribution, No Escalation</t>
  </si>
  <si>
    <t>Correctly identified lack of intelligence and telemetry. Did not falsely
 classify as malicious. Generated useful hunting queries and 
investigation guidance.</t>
  </si>
  <si>
    <t>IOC-004</t>
  </si>
  <si>
    <t>Benign Domain</t>
  </si>
  <si>
    <t>Investigate the following IOC: microsoft.com</t>
  </si>
  <si>
    <t>Benign / Informational / 
High Confidence</t>
  </si>
  <si>
    <t>Benign, Informational, Medium Confidence,
 No Escalation</t>
  </si>
  <si>
    <t>Correctly identified as a legitimate domain. Slight deduction because confidence should ideally be High for a globally recognized Microsoft-owned domain.</t>
  </si>
  <si>
    <t>IOC-005</t>
  </si>
  <si>
    <t>Malicious Hash</t>
  </si>
  <si>
    <t>Confirmed Malicious / 
Informational / Medium-High Confidence</t>
  </si>
  <si>
    <t>Confirmed Malicious, Informational, 
Medium Confidence, TrickBot association, no confirmed compromise</t>
  </si>
  <si>
    <t>Strong response. Correctly separated malware reputation from environment compromise. Minor deduction because confidence could be High if MalwareBazaar evidence is treated as trusted and validated.</t>
  </si>
  <si>
    <t>Sentinel Incident</t>
  </si>
  <si>
    <t>Suspicious / Low-Medium / 
T1059.001 / No escalation without more evidence</t>
  </si>
  <si>
    <t>Analyze the following SHA256 hash:
068af8016c36fce5cf1e1a4722c1dc0d6e02cb6ed58b61c2ba99a54d294cc274
This hash is from MalwareBazaar and is associated with TrickBot.
Determine:
1. IOC classification
2. Severity
3. Confidence
4. Malware family association
5. MITRE ATT&amp;CK mapping
6. Detection opportunities
7. Microsoft Sentinel KQL
8. Microsoft Defender XDR KQL
9. Escalation recommendation
10. Shift handoff summary
Clearly distinguish malware reputation from confirmed environment compromise.</t>
  </si>
  <si>
    <t xml:space="preserve">Investigate this Microsoft Sentinel incident:
Multiple DNS requests were observed from HOST-01 to suspicious-domain.com every 60 seconds for 4 hours.
Evidence:
- Device: HOST-01
- User: jsmith
- Domain: suspicious-domain.com
- Frequency: Every 60 seconds
- No confirmed malware execution
- No lateral movement observed
</t>
  </si>
  <si>
    <t xml:space="preserve">Investigate the following Microsoft Sentinel incident:
Device: WIN10-TEST01
User: jsmith
Process: powershell.exe
Command: powershell.exe -enc SQBFAFgA
Parent Process: winword.exe
</t>
  </si>
  <si>
    <t>Unknown Classification, Low Severity, Medium Confidence, DNS Beaconing Investigation, KQL Generated</t>
  </si>
  <si>
    <t>Correctly identified beacon-like DNS activity, avoided claiming compromise, generated high-quality hunting queries, and recommended additional investigation before escalation.</t>
  </si>
  <si>
    <t>DNS Beaconing</t>
  </si>
  <si>
    <t>Suspicious / Low-Medium / 
Needs validation</t>
  </si>
  <si>
    <t>Low Severity, Medium Confidence, ATT&amp;CK mapped, KQL generated, escalation only if follow-on activity is confirmed</t>
  </si>
  <si>
    <t>Strong response. Correctly identified Office-spawned encoded PowerShell as suspicious, decoded the payload, mapped ATT&amp;CK, generated KQL, and avoided claiming compromise. Minor deduction because severity could reasonably be Medium.</t>
  </si>
  <si>
    <t>Create a threat hunt for MITRE ATT&amp;CK technique 
T1059.001 PowerShell.</t>
  </si>
  <si>
    <t>HUNT-001</t>
  </si>
  <si>
    <t>Threat Hunt</t>
  </si>
  <si>
    <t>ATT&amp;CK-Driven Hunt</t>
  </si>
  <si>
    <t>Threat hunt hypothesis, ATT&amp;CK mapping, 
Sentinel KQL, Defender XDR KQL</t>
  </si>
  <si>
    <t>Complete ATT&amp;CK-driven hunt plan with hypothesis, validation criteria, ATT&amp;CK mapping, hunting queries, detections, and escalation guidance</t>
  </si>
  <si>
    <t>Excellent ATT&amp;CK-driven hunt. Clear hypothesis, validation criteria, ATT&amp;CK mapping, Sentinel and Defender XDR KQL, detection opportunities, and escalation guidance. Did not claim compromise without evidence.</t>
  </si>
  <si>
    <t>Create an IOC-driven threat hunt for the following indicators:
Domain:
licencemanagers.azurewebsites.net
SHA256:
068af8016c36fce5cf1e1a4722c1dc0d6e02cb6ed58b61c2ba99a54d294cc274</t>
  </si>
  <si>
    <t>HUNT-002</t>
  </si>
  <si>
    <t>IOC-Driven Hunt</t>
  </si>
  <si>
    <t>IOC hunt with domain/hash correlation, ATT&amp;CK mapping, Sentinel KQL, Defender XDR KQL</t>
  </si>
  <si>
    <t>IOC-driven hunt plan, correlation strategy, Sentinel and Defender XDR KQL, escalation criteria</t>
  </si>
  <si>
    <t>Good IOC hunting workflow and KQL coverage. Minor deductions for treating the known malicious hash as Unknown and providing weaker ATT&amp;CK mapping than expected.</t>
  </si>
  <si>
    <t>DET-001</t>
  </si>
  <si>
    <t>Detection Engineering</t>
  </si>
  <si>
    <t>Detection Review</t>
  </si>
  <si>
    <t>Review the following detection: 
Title: Suspicious Encoded PowerShell Execution
Current Logic:
- Process name equals powershell.exe
- Command line contains -enc or -encodedcommand</t>
  </si>
  <si>
    <t>Identify detection gaps, false positives, ATT&amp;CK mapping, and improvements</t>
  </si>
  <si>
    <t>Complete detection review with ATT&amp;CK mapping, gap analysis, false positive analysis, KQL improvements, coverage assessment, and tuning recommendations</t>
  </si>
  <si>
    <t>Excellent detection engineering review. Identified logic gaps, false positives, ATT&amp;CK coverage gaps, and provided practical improvements with production-quality KQL.</t>
  </si>
  <si>
    <t>DET-002</t>
  </si>
  <si>
    <t>False Positive Review</t>
  </si>
  <si>
    <t>Title: Encoded PowerShell Detection
Current Alert Volume: 500 alerts per day
Known Issue: Most alerts are generated by legitimate administrator scripts and software deployment tools.
Current Logic:
- Process name equals powershell.exe
- Command line contains -enc</t>
  </si>
  <si>
    <t>Identify false positives, recommend tuning, preserve ATT&amp;CK coverage</t>
  </si>
  <si>
    <t>Complete false-positive analysis, tuning recommendations, allowlisting strategy, ATT&amp;CK coverage preservation, improved KQL</t>
  </si>
  <si>
    <t>Excellent false-positive review. Reduced alert noise without weakening detection coverage. Provided realistic tuning guidance and production-ready improvements</t>
  </si>
  <si>
    <t>IOC Testing</t>
  </si>
  <si>
    <t>Incident Testing</t>
  </si>
  <si>
    <t>Overall</t>
  </si>
  <si>
    <t>Total Test</t>
  </si>
  <si>
    <t>Total Passed</t>
  </si>
  <si>
    <t>Total Failed</t>
  </si>
  <si>
    <t>Maximum 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</si>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</sst>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9" fontId="0" fillId="0" borderId="0" xfId="1" applyNumberFormat="1" applyFont="1" applyAlignment="1">
      <alignment horizontal="left" vertical="top"/>
    </xf>
    <xf numFmtId="9" fontId="0" fillId="0" borderId="0" xfId="1" applyFont="1" applyAlignment="1">
      <alignment horizontal="left" vertical="top"/>
    </xf>
    <xf numFmtId="10" fontId="0" fillId="0" borderId="0" xfId="0" applyNumberFormat="1" applyAlignment="1">
      <alignment horizontal="left" vertical="top"/>
    </xf>
  </cellXfs>
  <cellStyles count="2">
    <cellStyle name="Normal" xfId="0" builtinId="0"/>
    <cellStyle name="Percent" xfId="1" builtinId="5"/>
  </cellStyles>
  <dxfs count="50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7" tint="0.39997558519241921"/>
        </left>
        <right style="thin">
          <color theme="7" tint="0.399975585192419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/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/>
        <vertical/>
        <horizontal/>
      </border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1332F8-3999-4B71-9765-4BFAB4200D4D}" name="Table3" displayName="Table3" ref="A1:J2" insertRow="1" totalsRowShown="0" headerRowDxfId="1" dataDxfId="0">
  <autoFilter ref="A1:J2" xr:uid="{971332F8-3999-4B71-9765-4BFAB4200D4D}"/>
  <tableColumns count="10">
    <tableColumn id="1" xr3:uid="{1FA86950-DA59-4404-B09A-D8115441DC19}" name="Test ID" dataDxfId="11"/>
    <tableColumn id="2" xr3:uid="{0AE4AEA7-CA49-40E8-88A7-8378FD858844}" name="Category" dataDxfId="10"/>
    <tableColumn id="3" xr3:uid="{AF4D56BE-18D0-45A2-95A5-D5FD42F00DDE}" name="Scenario" dataDxfId="9"/>
    <tableColumn id="4" xr3:uid="{5F880523-9325-4E56-93E4-66D48BACB969}" name="Prompt" dataDxfId="8"/>
    <tableColumn id="5" xr3:uid="{4BF58E1C-C644-42C8-8336-F26E6CCC58F8}" name="Expected Result" dataDxfId="7"/>
    <tableColumn id="6" xr3:uid="{80FB8901-7283-4755-9D40-E8CBEEAAE934}" name="Agent Result" dataDxfId="6"/>
    <tableColumn id="7" xr3:uid="{239545CB-AD19-46A9-90CD-72682BEF47CA}" name="Score" dataDxfId="5"/>
    <tableColumn id="8" xr3:uid="{8C88ED8C-3895-4E38-A5E0-88179D29E9D0}" name="Pass" dataDxfId="4"/>
    <tableColumn id="9" xr3:uid="{31ED5334-1433-45EB-A3C1-D9F332A39C64}" name="Fail" dataDxfId="3"/>
    <tableColumn id="10" xr3:uid="{D30CF1FE-69BF-43A8-8070-25A634106D14}" name="Notes" dataDxfId="2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2E4534-3722-4420-86AE-28539093CAD3}" name="Table2" displayName="Table2" ref="A1:J2" insertRow="1" totalsRowShown="0" headerRowDxfId="38" dataDxfId="39">
  <autoFilter ref="A1:J2" xr:uid="{012E4534-3722-4420-86AE-28539093CAD3}"/>
  <tableColumns count="10">
    <tableColumn id="1" xr3:uid="{448CCC27-2865-4C1A-8583-74AE23536C60}" name="Test ID" dataDxfId="49"/>
    <tableColumn id="2" xr3:uid="{61BD6EFC-A4F7-4B34-ADAD-53090228D0D7}" name="Category" dataDxfId="48"/>
    <tableColumn id="3" xr3:uid="{8496D672-A3B2-42D0-BFC6-822A81D4F1AF}" name="Scenario" dataDxfId="47"/>
    <tableColumn id="4" xr3:uid="{42B365FE-C5FA-476A-91CA-DF1DD034D914}" name="Prompt" dataDxfId="46"/>
    <tableColumn id="5" xr3:uid="{EF428C50-B120-4B17-977A-48F7102DFBA2}" name="Expected Result" dataDxfId="45"/>
    <tableColumn id="6" xr3:uid="{66B1DDD2-BC75-43AE-B578-19495855ABE5}" name="Agent Result" dataDxfId="44"/>
    <tableColumn id="7" xr3:uid="{F9E036E2-2B7B-4C15-9732-C9E4EA0FD3B1}" name="Score" dataDxfId="43"/>
    <tableColumn id="8" xr3:uid="{51D7ABDB-971E-4672-AD3F-2149D5852555}" name="Pass" dataDxfId="42"/>
    <tableColumn id="9" xr3:uid="{86263CCD-E839-47E5-B1E4-47C73E330553}" name="Fail" dataDxfId="41"/>
    <tableColumn id="10" xr3:uid="{3C783D60-D928-4859-A9ED-1C2403419B6C}" name="Notes" dataDxfId="40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449AD5-FEEC-466E-8935-A385057D8227}" name="Table4" displayName="Table4" ref="A1:I2" insertRow="1" totalsRowShown="0" headerRowDxfId="27" dataDxfId="28">
  <autoFilter ref="A1:I2" xr:uid="{D0449AD5-FEEC-466E-8935-A385057D8227}"/>
  <tableColumns count="9">
    <tableColumn id="1" xr3:uid="{8058A5EA-9029-48E7-B60C-FF8F14011477}" name="Test ID" dataDxfId="37"/>
    <tableColumn id="2" xr3:uid="{F4E29A14-E672-4A4B-8415-CA724E4F0AEC}" name="Category" dataDxfId="36"/>
    <tableColumn id="3" xr3:uid="{3DD3B08C-7C02-4E26-8798-C1B95239EF0C}" name="Scenario" dataDxfId="35"/>
    <tableColumn id="4" xr3:uid="{1B9940EE-CD9A-4021-AEEC-EB5DB455EDE1}" name="Prompt" dataDxfId="34"/>
    <tableColumn id="5" xr3:uid="{AA68FF10-1FFE-4A4C-85DE-1AFBD181E6FA}" name="Expected Result" dataDxfId="33"/>
    <tableColumn id="6" xr3:uid="{5D205D65-9817-4542-861B-44264A184537}" name="Agent Result" dataDxfId="32"/>
    <tableColumn id="7" xr3:uid="{C0A81E88-01BA-4215-8145-3DFB37FF2449}" name="Score" dataDxfId="31"/>
    <tableColumn id="8" xr3:uid="{6732723B-F27B-4BA1-8826-7763B4044E5F}" name="Status" dataDxfId="30"/>
    <tableColumn id="10" xr3:uid="{A4533C56-2F23-4509-A867-37BD8D5CF377}" name="Notes" dataDxfId="29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D54128-D71A-45FA-BE4D-01E75EE5A28F}" name="Table5" displayName="Table5" ref="A1:I2" insertRow="1" totalsRowShown="0" headerRowDxfId="14" dataDxfId="15" headerRowBorderDxfId="25" tableBorderDxfId="26" totalsRowBorderDxfId="24">
  <autoFilter ref="A1:I2" xr:uid="{21D54128-D71A-45FA-BE4D-01E75EE5A28F}"/>
  <tableColumns count="9">
    <tableColumn id="1" xr3:uid="{46B5BEC4-F567-4F3D-9E98-79D5FCA66339}" name="Test ID" dataDxfId="23"/>
    <tableColumn id="2" xr3:uid="{7F3C73B0-83B9-4662-9D56-924B67850E17}" name="Category" dataDxfId="13"/>
    <tableColumn id="3" xr3:uid="{CB32F2F3-FD1A-4BBE-9D05-1E837AE1A6FD}" name="Scenario" dataDxfId="22"/>
    <tableColumn id="4" xr3:uid="{F3EEB3FC-D34A-4A8A-85B3-845CE1E0996D}" name="Prompt" dataDxfId="21"/>
    <tableColumn id="5" xr3:uid="{B97CC4C1-9616-4E38-81D1-C7E7FCCE2832}" name="Expected Result" dataDxfId="20"/>
    <tableColumn id="6" xr3:uid="{A96137C8-0108-479A-A2F9-10C6F9FFCD3C}" name="Agent Result" dataDxfId="19"/>
    <tableColumn id="7" xr3:uid="{BDBD24F0-A434-497B-808F-43774A796A49}" name="Score" dataDxfId="18"/>
    <tableColumn id="8" xr3:uid="{BCE8C23B-3E79-4307-A8DD-CD1F8AD10AD1}" name="Status" dataDxfId="17"/>
    <tableColumn id="10" xr3:uid="{ED796E93-56F1-4F7D-B4FB-6D92FAC37D3D}" name="Notes" dataDxfId="16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CA83AB-F144-4C5B-8DE7-24E10850C57A}" name="Table6" displayName="Table6" ref="A1:E2" insertRow="1" totalsRowShown="0">
  <autoFilter ref="A1:E2" xr:uid="{37CA83AB-F144-4C5B-8DE7-24E10850C57A}"/>
  <tableColumns count="5">
    <tableColumn id="1" xr3:uid="{739C6DCE-B36D-4752-8C7B-DD697B6336B9}" name="Category" dataDxfId="12"/>
    <tableColumn id="2" xr3:uid="{D7FCF413-00A9-426F-A857-3485ABB87A3E}" name="Tests"/>
    <tableColumn id="3" xr3:uid="{9B63B223-D339-438B-904F-DEC3F153A0FB}" name="Passed"/>
    <tableColumn id="4" xr3:uid="{636B13C0-4031-4977-8347-8AFA4121CFB0}" name="Failed"/>
    <tableColumn id="5" xr3:uid="{3B9D8FE4-A750-4E85-911B-EA44463B17A8}" name="Pass Rate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3282-CE38-4F73-A715-7B4A2DA1047A}">
  <dimension ref="A1:J7"/>
  <sheetViews>
    <sheetView topLeftCell="A5" workbookViewId="0">
      <selection activeCell="D7" sqref="D7"/>
    </sheetView>
  </sheetViews>
  <sheetFormatPr defaultRowHeight="15" x14ac:dyDescent="0.25"/>
  <cols>
    <col min="1" max="1" width="12.85546875" bestFit="1" customWidth="1"/>
    <col min="2" max="2" width="14.7109375" bestFit="1" customWidth="1"/>
    <col min="3" max="3" width="17.42578125" bestFit="1" customWidth="1"/>
    <col min="4" max="4" width="54" bestFit="1" customWidth="1"/>
    <col min="5" max="5" width="24.42578125" bestFit="1" customWidth="1"/>
    <col min="6" max="6" width="32.5703125" customWidth="1"/>
    <col min="7" max="7" width="11.28515625" bestFit="1" customWidth="1"/>
    <col min="8" max="8" width="8.140625" bestFit="1" customWidth="1"/>
    <col min="9" max="9" width="6.85546875" bestFit="1" customWidth="1"/>
    <col min="10" max="10" width="46.28515625" customWidth="1"/>
    <col min="11" max="11" width="11.7109375" bestFit="1" customWidth="1"/>
    <col min="12" max="12" width="18.7109375" bestFit="1" customWidth="1"/>
    <col min="13" max="13" width="12.85546875" bestFit="1" customWidth="1"/>
    <col min="14" max="14" width="16.28515625" bestFit="1" customWidth="1"/>
    <col min="15" max="15" width="13.140625" bestFit="1" customWidth="1"/>
    <col min="16" max="16" width="15.7109375" bestFit="1" customWidth="1"/>
    <col min="17" max="17" width="9.7109375" bestFit="1" customWidth="1"/>
    <col min="18" max="18" width="19" bestFit="1" customWidth="1"/>
    <col min="19" max="19" width="10.7109375" bestFit="1" customWidth="1"/>
    <col min="20" max="20" width="9.28515625" bestFit="1" customWidth="1"/>
    <col min="21" max="21" width="6.140625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7</v>
      </c>
      <c r="F1" s="9" t="s">
        <v>4</v>
      </c>
      <c r="G1" s="9" t="s">
        <v>8</v>
      </c>
      <c r="H1" s="9" t="s">
        <v>10</v>
      </c>
      <c r="I1" s="9" t="s">
        <v>9</v>
      </c>
      <c r="J1" s="9" t="s">
        <v>6</v>
      </c>
    </row>
    <row r="2" spans="1:10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45" x14ac:dyDescent="0.25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30</v>
      </c>
      <c r="G3" s="11">
        <v>14</v>
      </c>
      <c r="H3" s="11" t="s">
        <v>31</v>
      </c>
      <c r="I3" s="11" t="s">
        <v>32</v>
      </c>
      <c r="J3" s="11" t="s">
        <v>33</v>
      </c>
    </row>
    <row r="4" spans="1:10" ht="60" x14ac:dyDescent="0.25">
      <c r="A4" s="11" t="s">
        <v>23</v>
      </c>
      <c r="B4" s="11" t="s">
        <v>19</v>
      </c>
      <c r="C4" s="11" t="s">
        <v>24</v>
      </c>
      <c r="D4" s="11" t="s">
        <v>25</v>
      </c>
      <c r="E4" s="11" t="s">
        <v>26</v>
      </c>
      <c r="F4" s="6" t="s">
        <v>34</v>
      </c>
      <c r="G4" s="11">
        <v>12</v>
      </c>
      <c r="H4" s="11" t="s">
        <v>31</v>
      </c>
      <c r="I4" s="11" t="s">
        <v>32</v>
      </c>
      <c r="J4" s="6" t="s">
        <v>35</v>
      </c>
    </row>
    <row r="5" spans="1:10" ht="60" x14ac:dyDescent="0.25">
      <c r="A5" s="8" t="s">
        <v>36</v>
      </c>
      <c r="B5" s="8" t="s">
        <v>19</v>
      </c>
      <c r="C5" s="8" t="s">
        <v>37</v>
      </c>
      <c r="D5" s="8" t="s">
        <v>38</v>
      </c>
      <c r="E5" s="8" t="s">
        <v>39</v>
      </c>
      <c r="F5" s="8" t="s">
        <v>40</v>
      </c>
      <c r="G5" s="8">
        <v>14</v>
      </c>
      <c r="H5" s="8" t="s">
        <v>31</v>
      </c>
      <c r="I5" s="8" t="s">
        <v>32</v>
      </c>
      <c r="J5" s="8" t="s">
        <v>41</v>
      </c>
    </row>
    <row r="6" spans="1:10" ht="60" x14ac:dyDescent="0.25">
      <c r="A6" s="8" t="s">
        <v>42</v>
      </c>
      <c r="B6" s="8" t="s">
        <v>19</v>
      </c>
      <c r="C6" s="8" t="s">
        <v>43</v>
      </c>
      <c r="D6" s="8" t="s">
        <v>44</v>
      </c>
      <c r="E6" s="8" t="s">
        <v>45</v>
      </c>
      <c r="F6" s="8" t="s">
        <v>46</v>
      </c>
      <c r="G6" s="8">
        <v>13</v>
      </c>
      <c r="H6" s="8" t="s">
        <v>31</v>
      </c>
      <c r="I6" s="8" t="s">
        <v>32</v>
      </c>
      <c r="J6" s="8" t="s">
        <v>47</v>
      </c>
    </row>
    <row r="7" spans="1:10" ht="345" customHeight="1" x14ac:dyDescent="0.25">
      <c r="A7" s="8" t="s">
        <v>48</v>
      </c>
      <c r="B7" s="8" t="s">
        <v>19</v>
      </c>
      <c r="C7" s="8" t="s">
        <v>49</v>
      </c>
      <c r="D7" s="8" t="s">
        <v>55</v>
      </c>
      <c r="E7" s="8" t="s">
        <v>50</v>
      </c>
      <c r="F7" s="8" t="s">
        <v>51</v>
      </c>
      <c r="G7" s="8">
        <v>13</v>
      </c>
      <c r="H7" s="8" t="s">
        <v>31</v>
      </c>
      <c r="I7" s="8" t="s">
        <v>32</v>
      </c>
      <c r="J7" s="8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4B48-D686-4C57-A703-65FD55DA8FDB}">
  <dimension ref="A1:J4"/>
  <sheetViews>
    <sheetView workbookViewId="0">
      <selection activeCell="J4" sqref="J4"/>
    </sheetView>
  </sheetViews>
  <sheetFormatPr defaultRowHeight="15" x14ac:dyDescent="0.25"/>
  <cols>
    <col min="1" max="1" width="9.5703125" bestFit="1" customWidth="1"/>
    <col min="2" max="2" width="15.7109375" bestFit="1" customWidth="1"/>
    <col min="3" max="3" width="22" bestFit="1" customWidth="1"/>
    <col min="4" max="4" width="38.7109375" customWidth="1"/>
    <col min="5" max="5" width="35.7109375" customWidth="1"/>
    <col min="6" max="6" width="28.28515625" customWidth="1"/>
    <col min="7" max="7" width="8.42578125" bestFit="1" customWidth="1"/>
    <col min="8" max="8" width="7.42578125" bestFit="1" customWidth="1"/>
    <col min="9" max="9" width="6.42578125" bestFit="1" customWidth="1"/>
    <col min="10" max="10" width="36.28515625" customWidth="1"/>
    <col min="20" max="20" width="9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8</v>
      </c>
      <c r="H1" s="1" t="s">
        <v>10</v>
      </c>
      <c r="I1" s="1" t="s">
        <v>9</v>
      </c>
      <c r="J1" s="1" t="s">
        <v>6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4.5" customHeight="1" x14ac:dyDescent="0.25">
      <c r="A3" s="7" t="s">
        <v>27</v>
      </c>
      <c r="B3" s="8" t="s">
        <v>53</v>
      </c>
      <c r="C3" s="12" t="s">
        <v>60</v>
      </c>
      <c r="D3" s="8" t="s">
        <v>56</v>
      </c>
      <c r="E3" s="8" t="s">
        <v>54</v>
      </c>
      <c r="F3" s="8" t="s">
        <v>58</v>
      </c>
      <c r="G3" s="7">
        <v>14</v>
      </c>
      <c r="H3" s="7" t="s">
        <v>31</v>
      </c>
      <c r="I3" s="7" t="s">
        <v>32</v>
      </c>
      <c r="J3" s="8" t="s">
        <v>59</v>
      </c>
    </row>
    <row r="4" spans="1:10" ht="134.25" customHeight="1" x14ac:dyDescent="0.25">
      <c r="A4" s="7" t="s">
        <v>28</v>
      </c>
      <c r="B4" s="8" t="s">
        <v>53</v>
      </c>
      <c r="C4" s="8" t="s">
        <v>29</v>
      </c>
      <c r="D4" s="8" t="s">
        <v>57</v>
      </c>
      <c r="E4" s="8" t="s">
        <v>61</v>
      </c>
      <c r="F4" s="8" t="s">
        <v>62</v>
      </c>
      <c r="G4" s="8">
        <v>13</v>
      </c>
      <c r="H4" s="8" t="s">
        <v>31</v>
      </c>
      <c r="I4" s="8" t="s">
        <v>32</v>
      </c>
      <c r="J4" s="8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02AA-F48C-4DBB-8A84-7030E64CF697}">
  <dimension ref="A1:I4"/>
  <sheetViews>
    <sheetView workbookViewId="0">
      <selection activeCell="I4" sqref="I4"/>
    </sheetView>
  </sheetViews>
  <sheetFormatPr defaultRowHeight="15" x14ac:dyDescent="0.25"/>
  <cols>
    <col min="1" max="2" width="11" customWidth="1"/>
    <col min="3" max="3" width="18.85546875" bestFit="1" customWidth="1"/>
    <col min="4" max="4" width="44.42578125" customWidth="1"/>
    <col min="5" max="5" width="28.28515625" customWidth="1"/>
    <col min="6" max="6" width="28.7109375" customWidth="1"/>
    <col min="7" max="8" width="11" customWidth="1"/>
    <col min="9" max="9" width="36.140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8</v>
      </c>
      <c r="H1" s="1" t="s">
        <v>13</v>
      </c>
      <c r="I1" s="1" t="s">
        <v>6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90" x14ac:dyDescent="0.25">
      <c r="A3" s="8" t="s">
        <v>65</v>
      </c>
      <c r="B3" s="8" t="s">
        <v>66</v>
      </c>
      <c r="C3" s="8" t="s">
        <v>67</v>
      </c>
      <c r="D3" s="8" t="s">
        <v>64</v>
      </c>
      <c r="E3" s="8" t="s">
        <v>68</v>
      </c>
      <c r="F3" s="8" t="s">
        <v>69</v>
      </c>
      <c r="G3" s="8">
        <v>12</v>
      </c>
      <c r="H3" s="8" t="s">
        <v>10</v>
      </c>
      <c r="I3" s="6" t="s">
        <v>70</v>
      </c>
    </row>
    <row r="4" spans="1:9" ht="109.5" customHeight="1" x14ac:dyDescent="0.25">
      <c r="A4" s="12" t="s">
        <v>72</v>
      </c>
      <c r="B4" s="8" t="s">
        <v>66</v>
      </c>
      <c r="C4" s="12" t="s">
        <v>73</v>
      </c>
      <c r="D4" s="8" t="s">
        <v>71</v>
      </c>
      <c r="E4" s="8" t="s">
        <v>74</v>
      </c>
      <c r="F4" s="8" t="s">
        <v>75</v>
      </c>
      <c r="G4" s="12">
        <v>12</v>
      </c>
      <c r="H4" s="8" t="s">
        <v>10</v>
      </c>
      <c r="I4" s="8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BFED-EEDC-420A-A6A0-195FF518A6BD}">
  <dimension ref="A1:I5"/>
  <sheetViews>
    <sheetView workbookViewId="0">
      <selection activeCell="I5" sqref="I5"/>
    </sheetView>
  </sheetViews>
  <sheetFormatPr defaultRowHeight="15" x14ac:dyDescent="0.25"/>
  <cols>
    <col min="1" max="1" width="11.28515625" customWidth="1"/>
    <col min="2" max="2" width="20.28515625" bestFit="1" customWidth="1"/>
    <col min="3" max="3" width="19.7109375" bestFit="1" customWidth="1"/>
    <col min="4" max="4" width="42.28515625" customWidth="1"/>
    <col min="5" max="5" width="29.7109375" customWidth="1"/>
    <col min="6" max="6" width="35" customWidth="1"/>
    <col min="7" max="7" width="9.140625" customWidth="1"/>
    <col min="8" max="8" width="9.7109375" customWidth="1"/>
    <col min="9" max="9" width="36.42578125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8</v>
      </c>
      <c r="H1" s="3" t="s">
        <v>13</v>
      </c>
      <c r="I1" s="4" t="s">
        <v>6</v>
      </c>
    </row>
    <row r="2" spans="1:9" x14ac:dyDescent="0.25">
      <c r="A2" s="2"/>
      <c r="B2" s="3"/>
      <c r="C2" s="3"/>
      <c r="D2" s="3"/>
      <c r="E2" s="3"/>
      <c r="F2" s="3"/>
      <c r="G2" s="3"/>
      <c r="H2" s="3"/>
      <c r="I2" s="4"/>
    </row>
    <row r="4" spans="1:9" ht="94.5" customHeight="1" x14ac:dyDescent="0.25">
      <c r="A4" s="12" t="s">
        <v>77</v>
      </c>
      <c r="B4" s="12" t="s">
        <v>78</v>
      </c>
      <c r="C4" s="12" t="s">
        <v>79</v>
      </c>
      <c r="D4" s="8" t="s">
        <v>80</v>
      </c>
      <c r="E4" s="8" t="s">
        <v>81</v>
      </c>
      <c r="F4" s="8" t="s">
        <v>82</v>
      </c>
      <c r="G4" s="8">
        <v>14</v>
      </c>
      <c r="H4" s="8" t="s">
        <v>10</v>
      </c>
      <c r="I4" s="8" t="s">
        <v>83</v>
      </c>
    </row>
    <row r="5" spans="1:9" ht="129.75" customHeight="1" x14ac:dyDescent="0.25">
      <c r="A5" s="12" t="s">
        <v>84</v>
      </c>
      <c r="B5" s="12" t="s">
        <v>78</v>
      </c>
      <c r="C5" s="12" t="s">
        <v>85</v>
      </c>
      <c r="D5" s="8" t="s">
        <v>86</v>
      </c>
      <c r="E5" s="8" t="s">
        <v>87</v>
      </c>
      <c r="F5" s="8" t="s">
        <v>88</v>
      </c>
      <c r="G5" s="12">
        <v>14</v>
      </c>
      <c r="H5" s="8" t="s">
        <v>10</v>
      </c>
      <c r="I5" s="8" t="s">
        <v>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628F-040D-447E-92DE-C1172C339EB3}">
  <dimension ref="A1:E22"/>
  <sheetViews>
    <sheetView tabSelected="1" topLeftCell="A4" workbookViewId="0">
      <selection activeCell="I18" sqref="I18"/>
    </sheetView>
  </sheetViews>
  <sheetFormatPr defaultRowHeight="15" x14ac:dyDescent="0.25"/>
  <cols>
    <col min="1" max="1" width="18.140625" bestFit="1" customWidth="1"/>
    <col min="2" max="2" width="11" customWidth="1"/>
    <col min="3" max="3" width="9.7109375" bestFit="1" customWidth="1"/>
    <col min="4" max="4" width="8.7109375" bestFit="1" customWidth="1"/>
    <col min="5" max="5" width="12" bestFit="1" customWidth="1"/>
  </cols>
  <sheetData>
    <row r="1" spans="1:5" x14ac:dyDescent="0.25">
      <c r="A1" s="5" t="s">
        <v>1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s="5"/>
    </row>
    <row r="3" spans="1:5" x14ac:dyDescent="0.25">
      <c r="A3" s="12" t="s">
        <v>90</v>
      </c>
      <c r="B3" s="12">
        <v>5</v>
      </c>
      <c r="C3" s="12">
        <v>5</v>
      </c>
      <c r="D3" s="12">
        <v>0</v>
      </c>
      <c r="E3" s="13">
        <v>1</v>
      </c>
    </row>
    <row r="4" spans="1:5" x14ac:dyDescent="0.25">
      <c r="A4" s="12" t="s">
        <v>91</v>
      </c>
      <c r="B4" s="12">
        <v>2</v>
      </c>
      <c r="C4" s="12">
        <v>2</v>
      </c>
      <c r="D4" s="12">
        <v>0</v>
      </c>
      <c r="E4" s="13">
        <v>1</v>
      </c>
    </row>
    <row r="5" spans="1:5" x14ac:dyDescent="0.25">
      <c r="A5" s="12" t="s">
        <v>11</v>
      </c>
      <c r="B5" s="12">
        <v>2</v>
      </c>
      <c r="C5" s="12">
        <v>2</v>
      </c>
      <c r="D5" s="12">
        <v>0</v>
      </c>
      <c r="E5" s="13">
        <v>1</v>
      </c>
    </row>
    <row r="6" spans="1:5" x14ac:dyDescent="0.25">
      <c r="A6" s="12" t="s">
        <v>12</v>
      </c>
      <c r="B6" s="12">
        <v>2</v>
      </c>
      <c r="C6" s="12">
        <v>2</v>
      </c>
      <c r="D6" s="12">
        <v>0</v>
      </c>
      <c r="E6" s="13">
        <v>1</v>
      </c>
    </row>
    <row r="7" spans="1:5" x14ac:dyDescent="0.25">
      <c r="A7" s="12"/>
    </row>
    <row r="8" spans="1:5" x14ac:dyDescent="0.25">
      <c r="A8" s="12" t="s">
        <v>92</v>
      </c>
      <c r="B8" s="12">
        <v>11</v>
      </c>
      <c r="C8" s="12">
        <v>11</v>
      </c>
      <c r="D8" s="12">
        <v>0</v>
      </c>
      <c r="E8" s="13">
        <v>1</v>
      </c>
    </row>
    <row r="9" spans="1:5" x14ac:dyDescent="0.25">
      <c r="A9" s="12"/>
    </row>
    <row r="10" spans="1:5" x14ac:dyDescent="0.25">
      <c r="A10" s="12" t="s">
        <v>93</v>
      </c>
      <c r="B10" s="12">
        <f>SUM(B3:B6)</f>
        <v>11</v>
      </c>
    </row>
    <row r="11" spans="1:5" x14ac:dyDescent="0.25">
      <c r="A11" s="12"/>
      <c r="B11" s="12"/>
    </row>
    <row r="12" spans="1:5" x14ac:dyDescent="0.25">
      <c r="A12" s="12" t="s">
        <v>94</v>
      </c>
      <c r="B12" s="12">
        <f>SUM(C3:C6)</f>
        <v>11</v>
      </c>
    </row>
    <row r="14" spans="1:5" x14ac:dyDescent="0.25">
      <c r="A14" s="12" t="s">
        <v>95</v>
      </c>
      <c r="B14" s="12">
        <f>SUM(D3:D6)</f>
        <v>0</v>
      </c>
    </row>
    <row r="16" spans="1:5" x14ac:dyDescent="0.25">
      <c r="A16" t="s">
        <v>17</v>
      </c>
      <c r="B16" s="14">
        <f>C8/B8</f>
        <v>1</v>
      </c>
    </row>
    <row r="18" spans="1:2" x14ac:dyDescent="0.25">
      <c r="A18" s="12" t="s">
        <v>5</v>
      </c>
      <c r="B18" s="12">
        <v>147</v>
      </c>
    </row>
    <row r="19" spans="1:2" x14ac:dyDescent="0.25">
      <c r="A19" s="12"/>
      <c r="B19" s="12"/>
    </row>
    <row r="20" spans="1:2" x14ac:dyDescent="0.25">
      <c r="A20" s="12" t="s">
        <v>96</v>
      </c>
      <c r="B20" s="12">
        <v>154</v>
      </c>
    </row>
    <row r="22" spans="1:2" x14ac:dyDescent="0.25">
      <c r="A22" t="s">
        <v>97</v>
      </c>
      <c r="B22" s="15">
        <v>0.95499999999999996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IOC Testing</vt:lpstr>
      <vt:lpstr>Incident Testing</vt:lpstr>
      <vt:lpstr>Threat Hunt Testing</vt:lpstr>
      <vt:lpstr>Detection Testing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Banday</dc:creator>
  <cp:lastModifiedBy>James Banday</cp:lastModifiedBy>
  <dcterms:created xsi:type="dcterms:W3CDTF">2026-06-14T04:57:33Z</dcterms:created>
  <dcterms:modified xsi:type="dcterms:W3CDTF">2026-06-14T10:47:15Z</dcterms:modified>
</cp:coreProperties>
</file>